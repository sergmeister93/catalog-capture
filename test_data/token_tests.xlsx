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ab12f41801e6f65/Claude Projects/ServicePhoto/UsedItemsListing_App/test_data/"/>
    </mc:Choice>
  </mc:AlternateContent>
  <xr:revisionPtr revIDLastSave="88" documentId="11_F25DC773A252ABDACC104803295D5EE05BDE58ED" xr6:coauthVersionLast="47" xr6:coauthVersionMax="47" xr10:uidLastSave="{CDFF5B16-E5E0-4192-B02D-45E5CC88562C}"/>
  <bookViews>
    <workbookView xWindow="1170" yWindow="870" windowWidth="23385" windowHeight="207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F4" i="1"/>
  <c r="I3" i="1"/>
  <c r="I4" i="1"/>
  <c r="I5" i="1"/>
  <c r="I6" i="1"/>
  <c r="I7" i="1"/>
  <c r="I8" i="1"/>
  <c r="I9" i="1"/>
  <c r="I10" i="1"/>
  <c r="I11" i="1"/>
  <c r="I12" i="1"/>
  <c r="I13" i="1"/>
  <c r="I14" i="1"/>
  <c r="I2" i="1"/>
</calcChain>
</file>

<file path=xl/sharedStrings.xml><?xml version="1.0" encoding="utf-8"?>
<sst xmlns="http://schemas.openxmlformats.org/spreadsheetml/2006/main" count="13" uniqueCount="13">
  <si>
    <t>Date</t>
  </si>
  <si>
    <t>Image #</t>
  </si>
  <si>
    <t>Token Start</t>
  </si>
  <si>
    <t>Token End</t>
  </si>
  <si>
    <t>Model</t>
  </si>
  <si>
    <t>V1</t>
  </si>
  <si>
    <t>Time</t>
  </si>
  <si>
    <t>V1.1 (UX)</t>
  </si>
  <si>
    <t>V1.2 (UX)</t>
  </si>
  <si>
    <t>Batch End</t>
  </si>
  <si>
    <t>$Per Image</t>
  </si>
  <si>
    <t>Seconds per Image</t>
  </si>
  <si>
    <t>update!!!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</si>
</sst>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8" fontId="0" fillId="0" borderId="0" xfId="0" applyNumberFormat="1"/>
    <xf numFmtId="14" fontId="0" fillId="0" borderId="0" xfId="0" applyNumberFormat="1"/>
    <xf numFmtId="44" fontId="0" fillId="0" borderId="0" xfId="1" applyFont="1"/>
    <xf numFmtId="2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A3B59D-6FD4-4DBC-81C2-FD6641F77A7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af2da31-ba7c-4a4f-a682-3c571e0d1d1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F6" sqref="F6"/>
    </sheetView>
  </sheetViews>
  <sheetFormatPr defaultRowHeight="15" x14ac:dyDescent="0.25"/>
  <cols>
    <col min="2" max="2" width="9.7109375" bestFit="1" customWidth="1"/>
    <col min="6" max="6" width="11" bestFit="1" customWidth="1"/>
    <col min="7" max="7" width="10.140625" bestFit="1" customWidth="1"/>
    <col min="8" max="8" width="18" bestFit="1" customWidth="1"/>
    <col min="9" max="9" width="9.85546875" bestFit="1" customWidth="1"/>
  </cols>
  <sheetData>
    <row r="1" spans="1:9" x14ac:dyDescent="0.25">
      <c r="A1" t="s">
        <v>4</v>
      </c>
      <c r="B1" s="1" t="s">
        <v>0</v>
      </c>
      <c r="C1" s="1" t="s">
        <v>6</v>
      </c>
      <c r="D1" s="1" t="s">
        <v>9</v>
      </c>
      <c r="E1" s="1" t="s">
        <v>1</v>
      </c>
      <c r="F1" s="1" t="s">
        <v>2</v>
      </c>
      <c r="G1" s="1" t="s">
        <v>3</v>
      </c>
      <c r="H1" s="1" t="s">
        <v>11</v>
      </c>
      <c r="I1" s="1" t="s">
        <v>10</v>
      </c>
    </row>
    <row r="2" spans="1:9" x14ac:dyDescent="0.25">
      <c r="A2" t="s">
        <v>5</v>
      </c>
      <c r="B2" s="3">
        <v>46131</v>
      </c>
      <c r="C2" s="2">
        <v>0.75694444444444442</v>
      </c>
      <c r="D2" s="2"/>
      <c r="E2">
        <v>3</v>
      </c>
      <c r="F2" s="4">
        <v>0.36</v>
      </c>
      <c r="G2" s="4">
        <v>0.44</v>
      </c>
      <c r="H2" s="4"/>
      <c r="I2" s="4">
        <f>IF(G2="","",(G2-F2)/E2)</f>
        <v>2.6666666666666672E-2</v>
      </c>
    </row>
    <row r="3" spans="1:9" x14ac:dyDescent="0.25">
      <c r="A3" t="s">
        <v>7</v>
      </c>
      <c r="B3" s="3">
        <v>46131</v>
      </c>
      <c r="C3" s="2">
        <v>0.77430555555555558</v>
      </c>
      <c r="D3" s="2"/>
      <c r="E3">
        <v>4</v>
      </c>
      <c r="F3" s="4">
        <v>0.44</v>
      </c>
      <c r="G3" s="4">
        <v>0.53</v>
      </c>
      <c r="H3" s="4"/>
      <c r="I3" s="4">
        <f t="shared" ref="I3:I14" si="0">IF(G3="","",(G3-F3)/E3)</f>
        <v>2.2500000000000006E-2</v>
      </c>
    </row>
    <row r="4" spans="1:9" x14ac:dyDescent="0.25">
      <c r="A4" t="s">
        <v>8</v>
      </c>
      <c r="B4" s="3">
        <v>46131</v>
      </c>
      <c r="C4" s="2">
        <v>0.7944444444444444</v>
      </c>
      <c r="D4" s="2">
        <v>0.79861111111111116</v>
      </c>
      <c r="E4">
        <v>10</v>
      </c>
      <c r="F4" s="4">
        <f>IF(G3="","",G3)</f>
        <v>0.53</v>
      </c>
      <c r="G4" s="4">
        <v>0.7</v>
      </c>
      <c r="H4" s="5">
        <f>(((D4-C4)*86400))/E4</f>
        <v>36.000000000000831</v>
      </c>
      <c r="I4" s="4">
        <f t="shared" si="0"/>
        <v>1.6999999999999994E-2</v>
      </c>
    </row>
    <row r="5" spans="1:9" x14ac:dyDescent="0.25">
      <c r="B5" s="3"/>
      <c r="C5" s="2"/>
      <c r="D5" s="2"/>
      <c r="F5" s="4" t="s">
        <v>12</v>
      </c>
      <c r="G5" s="4"/>
      <c r="H5" s="4"/>
      <c r="I5" s="4" t="str">
        <f t="shared" si="0"/>
        <v/>
      </c>
    </row>
    <row r="6" spans="1:9" x14ac:dyDescent="0.25">
      <c r="B6" s="3"/>
      <c r="C6" s="2"/>
      <c r="D6" s="2"/>
      <c r="F6" s="4"/>
      <c r="G6" s="4"/>
      <c r="H6" s="4"/>
      <c r="I6" s="4" t="str">
        <f t="shared" si="0"/>
        <v/>
      </c>
    </row>
    <row r="7" spans="1:9" x14ac:dyDescent="0.25">
      <c r="B7" s="3"/>
      <c r="C7" s="2"/>
      <c r="D7" s="2"/>
      <c r="F7" s="4"/>
      <c r="G7" s="4"/>
      <c r="H7" s="4"/>
      <c r="I7" s="4" t="str">
        <f t="shared" si="0"/>
        <v/>
      </c>
    </row>
    <row r="8" spans="1:9" x14ac:dyDescent="0.25">
      <c r="B8" s="3"/>
      <c r="C8" s="2"/>
      <c r="D8" s="2"/>
      <c r="F8" s="4"/>
      <c r="G8" s="4"/>
      <c r="H8" s="5"/>
      <c r="I8" s="4" t="str">
        <f t="shared" si="0"/>
        <v/>
      </c>
    </row>
    <row r="9" spans="1:9" x14ac:dyDescent="0.25">
      <c r="B9" s="3"/>
      <c r="C9" s="2"/>
      <c r="D9" s="2"/>
      <c r="F9" s="4"/>
      <c r="G9" s="4"/>
      <c r="H9" s="4"/>
      <c r="I9" s="4" t="str">
        <f t="shared" si="0"/>
        <v/>
      </c>
    </row>
    <row r="10" spans="1:9" x14ac:dyDescent="0.25">
      <c r="B10" s="3"/>
      <c r="C10" s="2"/>
      <c r="D10" s="2"/>
      <c r="F10" s="4"/>
      <c r="G10" s="4"/>
      <c r="H10" s="4"/>
      <c r="I10" s="4" t="str">
        <f t="shared" si="0"/>
        <v/>
      </c>
    </row>
    <row r="11" spans="1:9" x14ac:dyDescent="0.25">
      <c r="B11" s="3"/>
      <c r="C11" s="2"/>
      <c r="D11" s="2"/>
      <c r="F11" s="4"/>
      <c r="G11" s="4"/>
      <c r="H11" s="4"/>
      <c r="I11" s="4" t="str">
        <f t="shared" si="0"/>
        <v/>
      </c>
    </row>
    <row r="12" spans="1:9" x14ac:dyDescent="0.25">
      <c r="B12" s="3"/>
      <c r="C12" s="2"/>
      <c r="D12" s="2"/>
      <c r="F12" s="4"/>
      <c r="G12" s="4"/>
      <c r="H12" s="4"/>
      <c r="I12" s="4" t="str">
        <f t="shared" si="0"/>
        <v/>
      </c>
    </row>
    <row r="13" spans="1:9" x14ac:dyDescent="0.25">
      <c r="B13" s="3"/>
      <c r="C13" s="2"/>
      <c r="D13" s="2"/>
      <c r="F13" s="4"/>
      <c r="G13" s="4"/>
      <c r="H13" s="4"/>
      <c r="I13" s="4" t="str">
        <f t="shared" si="0"/>
        <v/>
      </c>
    </row>
    <row r="14" spans="1:9" x14ac:dyDescent="0.25">
      <c r="B14" s="3"/>
      <c r="C14" s="2"/>
      <c r="D14" s="2"/>
      <c r="F14" s="4"/>
      <c r="G14" s="4"/>
      <c r="H14" s="4"/>
      <c r="I14" s="4" t="str">
        <f t="shared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Feldman</dc:creator>
  <cp:lastModifiedBy>Sergey Feldman</cp:lastModifiedBy>
  <dcterms:created xsi:type="dcterms:W3CDTF">2015-06-05T18:17:20Z</dcterms:created>
  <dcterms:modified xsi:type="dcterms:W3CDTF">2026-04-20T00:21:06Z</dcterms:modified>
</cp:coreProperties>
</file>